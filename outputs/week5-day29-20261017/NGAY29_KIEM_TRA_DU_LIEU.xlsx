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eede2c662b4e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ng_hop" sheetId="1" r:id="Rf4435f568f1840f7"/>
    <x:sheet xmlns:r="http://schemas.openxmlformats.org/officeDocument/2006/relationships" name="Du_lieu" sheetId="2" r:id="R58b919606d4743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00"/>
    <x:numFmt numFmtId="202" formatCode="0"/>
  </x:numFmts>
  <x:fonts count="6">
    <x:font>
      <x:sz val="11"/>
      <x:name val="Carlito"/>
    </x:font>
    <x:font>
      <x:sz val="10"/>
      <x:color rgb="FF243746"/>
      <x:name val="Arial"/>
    </x:font>
    <x:font>
      <x:b/>
      <x:sz val="17"/>
      <x:color rgb="FF123C59"/>
      <x:name val="Arial"/>
    </x:font>
    <x:font>
      <x:b/>
      <x:sz val="10"/>
      <x:color rgb="FFFFFFFF"/>
      <x:name val="Arial"/>
    </x:font>
    <x:font>
      <x:b/>
      <x:sz val="10"/>
      <x:color rgb="FF243746"/>
      <x:name val="Arial"/>
    </x:font>
    <x:font>
      <x:sz val="10"/>
      <x:color rgb="FF4B596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23C59"/>
      </x:patternFill>
    </x:fill>
    <x:fill>
      <x:patternFill patternType="solid">
        <x:fgColor rgb="FFDCEDE8"/>
      </x:patternFill>
    </x:fill>
    <x:fill>
      <x:patternFill patternType="solid">
        <x:fgColor rgb="FFEDF4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200" fontId="1" fillId="0" borderId="0" xfId="0" applyNumberFormat="1" applyFont="1" applyFill="1" applyBorder="1"/>
    <x:xf numFmtId="200" fontId="4" fillId="3" borderId="0" xfId="0" applyNumberFormat="1" applyFont="1" applyFill="1" applyBorder="1"/>
    <x:xf numFmtId="201" fontId="1" fillId="0" borderId="0" xfId="0" applyNumberFormat="1" applyFont="1" applyFill="1" applyBorder="1"/>
    <x:xf numFmtId="0" fontId="5" fillId="0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72e158dcaa4f2f" /><Relationship Type="http://schemas.openxmlformats.org/officeDocument/2006/relationships/theme" Target="/xl/theme/theme1.xml" Id="R0d4965e319e1422f" /><Relationship Type="http://schemas.openxmlformats.org/officeDocument/2006/relationships/sharedStrings" Target="/xl/sharedStrings.xml" Id="Ra7e7d04954904a45" /><Relationship Type="http://schemas.openxmlformats.org/officeDocument/2006/relationships/worksheet" Target="/xl/worksheets/sheet1.xml" Id="Rf4435f568f1840f7" /><Relationship Type="http://schemas.openxmlformats.org/officeDocument/2006/relationships/worksheet" Target="/xl/worksheets/sheet2.xml" Id="R58b919606d4743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36" customHeight="1">
      <x:c r="A1" s="2" t="str">
        <x:v>TUẦN 5 · NGÀY 29 | KIỂM TRA DỮ LIỆU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3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</x:row>
    <x:row r="3" ht="23" customHeight="1">
      <x:c r="A3" s="11" t="str">
        <x:v>17/10/2026 · 19 lượt theo dõi · 18 fault hợp lệ · 1 lượt hủy trước fault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4" ht="23" customHeight="1">
      <x:c r="A4" s="11" t="str">
        <x:v>Đã đối chiếu 631 checksum và 18 liên kết event–incident–recovery–ảnh.</x:v>
      </x:c>
      <x:c r="B4" s="11"/>
      <x:c r="C4" s="11"/>
      <x:c r="D4" s="11"/>
      <x:c r="E4" s="11"/>
      <x:c r="F4" s="11"/>
      <x:c r="G4" s="11"/>
      <x:c r="H4" s="11"/>
      <x:c r="I4" s="11"/>
      <x:c r="J4" s="1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 ht="45" customHeight="1">
      <x:c r="A6" s="5" t="str">
        <x:v>Kịch bản</x:v>
      </x:c>
      <x:c r="B6" s="5" t="str">
        <x:v>Fault hợp lệ</x:v>
      </x:c>
      <x:c r="C6" s="5" t="str">
        <x:v>Phát hiện</x:v>
      </x:c>
      <x:c r="D6" s="5" t="str">
        <x:v>Mục tiêu khớp</x:v>
      </x:c>
      <x:c r="E6" s="5" t="str">
        <x:v>CLI lỗi</x:v>
      </x:c>
      <x:c r="F6" s="5" t="str">
        <x:v>Thiếu bằng chứng</x:v>
      </x:c>
      <x:c r="G6" s="5" t="str">
        <x:v>Không phát hiện</x:v>
      </x:c>
      <x:c r="H6" s="5" t="str">
        <x:v>Tỷ lệ phát hiện</x:v>
      </x:c>
      <x:c r="I6" s="5" t="str">
        <x:v>Tỷ lệ mục tiêu</x:v>
      </x:c>
      <x:c r="J6" s="1"/>
    </x:row>
    <x:row r="7" ht="23" customHeight="1">
      <x:c r="A7" s="1" t="str">
        <x:v>R1</x:v>
      </x:c>
      <x:c r="B7" s="1" t="n">
        <x:f>SUMIF(Du_lieu!$B$2:$B$19,A7,Du_lieu!$N$2:$N$19)</x:f>
        <x:v>3</x:v>
      </x:c>
      <x:c r="C7" s="1" t="n">
        <x:f>SUMIF(Du_lieu!$B$2:$B$19,A7,Du_lieu!$O$2:$O$19)</x:f>
        <x:v>3</x:v>
      </x:c>
      <x:c r="D7" s="1" t="n">
        <x:f>SUMIF(Du_lieu!$B$2:$B$19,A7,Du_lieu!$V$2:$V$19)</x:f>
        <x:v>3</x:v>
      </x:c>
      <x:c r="E7" s="1" t="n">
        <x:f>COUNTIFS(Du_lieu!$B$2:$B$19,A7,Du_lieu!$P$2:$P$19,"&lt;&gt;0")</x:f>
        <x:v>0</x:v>
      </x:c>
      <x:c r="F7" s="1" t="n">
        <x:f>COUNTIFS(Du_lieu!$B$2:$B$19,A7,Du_lieu!$M$2:$M$19,"insufficient_evidence")</x:f>
        <x:v>0</x:v>
      </x:c>
      <x:c r="G7" s="1" t="n">
        <x:f>B7-C7</x:f>
        <x:v>0</x:v>
      </x:c>
      <x:c r="H7" s="8" t="n">
        <x:f>IF(B7=0,"n.a.",C7/B7)</x:f>
        <x:v>1</x:v>
      </x:c>
      <x:c r="I7" s="8" t="n">
        <x:f>IF(B7=0,"n.a.",D7/B7)</x:f>
        <x:v>1</x:v>
      </x:c>
      <x:c r="J7" s="1"/>
    </x:row>
    <x:row r="8" ht="23" customHeight="1">
      <x:c r="A8" s="1" t="str">
        <x:v>R2</x:v>
      </x:c>
      <x:c r="B8" s="1" t="n">
        <x:f>SUMIF(Du_lieu!$B$2:$B$19,A8,Du_lieu!$N$2:$N$19)</x:f>
        <x:v>3</x:v>
      </x:c>
      <x:c r="C8" s="1" t="n">
        <x:f>SUMIF(Du_lieu!$B$2:$B$19,A8,Du_lieu!$O$2:$O$19)</x:f>
        <x:v>3</x:v>
      </x:c>
      <x:c r="D8" s="1" t="n">
        <x:f>SUMIF(Du_lieu!$B$2:$B$19,A8,Du_lieu!$V$2:$V$19)</x:f>
        <x:v>3</x:v>
      </x:c>
      <x:c r="E8" s="1" t="n">
        <x:f>COUNTIFS(Du_lieu!$B$2:$B$19,A8,Du_lieu!$P$2:$P$19,"&lt;&gt;0")</x:f>
        <x:v>0</x:v>
      </x:c>
      <x:c r="F8" s="1" t="n">
        <x:f>COUNTIFS(Du_lieu!$B$2:$B$19,A8,Du_lieu!$M$2:$M$19,"insufficient_evidence")</x:f>
        <x:v>0</x:v>
      </x:c>
      <x:c r="G8" s="1" t="n">
        <x:f>B8-C8</x:f>
        <x:v>0</x:v>
      </x:c>
      <x:c r="H8" s="8" t="n">
        <x:f>IF(B8=0,"n.a.",C8/B8)</x:f>
        <x:v>1</x:v>
      </x:c>
      <x:c r="I8" s="8" t="n">
        <x:f>IF(B8=0,"n.a.",D8/B8)</x:f>
        <x:v>1</x:v>
      </x:c>
      <x:c r="J8" s="1"/>
    </x:row>
    <x:row r="9" ht="23" customHeight="1">
      <x:c r="A9" s="1" t="str">
        <x:v>R3</x:v>
      </x:c>
      <x:c r="B9" s="1" t="n">
        <x:f>SUMIF(Du_lieu!$B$2:$B$19,A9,Du_lieu!$N$2:$N$19)</x:f>
        <x:v>3</x:v>
      </x:c>
      <x:c r="C9" s="1" t="n">
        <x:f>SUMIF(Du_lieu!$B$2:$B$19,A9,Du_lieu!$O$2:$O$19)</x:f>
        <x:v>3</x:v>
      </x:c>
      <x:c r="D9" s="1" t="n">
        <x:f>SUMIF(Du_lieu!$B$2:$B$19,A9,Du_lieu!$V$2:$V$19)</x:f>
        <x:v>3</x:v>
      </x:c>
      <x:c r="E9" s="1" t="n">
        <x:f>COUNTIFS(Du_lieu!$B$2:$B$19,A9,Du_lieu!$P$2:$P$19,"&lt;&gt;0")</x:f>
        <x:v>0</x:v>
      </x:c>
      <x:c r="F9" s="1" t="n">
        <x:f>COUNTIFS(Du_lieu!$B$2:$B$19,A9,Du_lieu!$M$2:$M$19,"insufficient_evidence")</x:f>
        <x:v>0</x:v>
      </x:c>
      <x:c r="G9" s="1" t="n">
        <x:f>B9-C9</x:f>
        <x:v>0</x:v>
      </x:c>
      <x:c r="H9" s="8" t="n">
        <x:f>IF(B9=0,"n.a.",C9/B9)</x:f>
        <x:v>1</x:v>
      </x:c>
      <x:c r="I9" s="8" t="n">
        <x:f>IF(B9=0,"n.a.",D9/B9)</x:f>
        <x:v>1</x:v>
      </x:c>
      <x:c r="J9" s="1"/>
    </x:row>
    <x:row r="10" ht="23" customHeight="1">
      <x:c r="A10" s="1" t="str">
        <x:v>R4</x:v>
      </x:c>
      <x:c r="B10" s="1" t="n">
        <x:f>SUMIF(Du_lieu!$B$2:$B$19,A10,Du_lieu!$N$2:$N$19)</x:f>
        <x:v>3</x:v>
      </x:c>
      <x:c r="C10" s="1" t="n">
        <x:f>SUMIF(Du_lieu!$B$2:$B$19,A10,Du_lieu!$O$2:$O$19)</x:f>
        <x:v>3</x:v>
      </x:c>
      <x:c r="D10" s="1" t="n">
        <x:f>SUMIF(Du_lieu!$B$2:$B$19,A10,Du_lieu!$V$2:$V$19)</x:f>
        <x:v>3</x:v>
      </x:c>
      <x:c r="E10" s="1" t="n">
        <x:f>COUNTIFS(Du_lieu!$B$2:$B$19,A10,Du_lieu!$P$2:$P$19,"&lt;&gt;0")</x:f>
        <x:v>0</x:v>
      </x:c>
      <x:c r="F10" s="1" t="n">
        <x:f>COUNTIFS(Du_lieu!$B$2:$B$19,A10,Du_lieu!$M$2:$M$19,"insufficient_evidence")</x:f>
        <x:v>0</x:v>
      </x:c>
      <x:c r="G10" s="1" t="n">
        <x:f>B10-C10</x:f>
        <x:v>0</x:v>
      </x:c>
      <x:c r="H10" s="8" t="n">
        <x:f>IF(B10=0,"n.a.",C10/B10)</x:f>
        <x:v>1</x:v>
      </x:c>
      <x:c r="I10" s="8" t="n">
        <x:f>IF(B10=0,"n.a.",D10/B10)</x:f>
        <x:v>1</x:v>
      </x:c>
      <x:c r="J10" s="1"/>
    </x:row>
    <x:row r="11" ht="23" customHeight="1">
      <x:c r="A11" s="1" t="str">
        <x:v>R5</x:v>
      </x:c>
      <x:c r="B11" s="1" t="n">
        <x:f>SUMIF(Du_lieu!$B$2:$B$19,A11,Du_lieu!$N$2:$N$19)</x:f>
        <x:v>3</x:v>
      </x:c>
      <x:c r="C11" s="1" t="n">
        <x:f>SUMIF(Du_lieu!$B$2:$B$19,A11,Du_lieu!$O$2:$O$19)</x:f>
        <x:v>3</x:v>
      </x:c>
      <x:c r="D11" s="1" t="n">
        <x:f>SUMIF(Du_lieu!$B$2:$B$19,A11,Du_lieu!$V$2:$V$19)</x:f>
        <x:v>3</x:v>
      </x:c>
      <x:c r="E11" s="1" t="n">
        <x:f>COUNTIFS(Du_lieu!$B$2:$B$19,A11,Du_lieu!$P$2:$P$19,"&lt;&gt;0")</x:f>
        <x:v>0</x:v>
      </x:c>
      <x:c r="F11" s="1" t="n">
        <x:f>COUNTIFS(Du_lieu!$B$2:$B$19,A11,Du_lieu!$M$2:$M$19,"insufficient_evidence")</x:f>
        <x:v>0</x:v>
      </x:c>
      <x:c r="G11" s="1" t="n">
        <x:f>B11-C11</x:f>
        <x:v>0</x:v>
      </x:c>
      <x:c r="H11" s="8" t="n">
        <x:f>IF(B11=0,"n.a.",C11/B11)</x:f>
        <x:v>1</x:v>
      </x:c>
      <x:c r="I11" s="8" t="n">
        <x:f>IF(B11=0,"n.a.",D11/B11)</x:f>
        <x:v>1</x:v>
      </x:c>
      <x:c r="J11" s="1"/>
    </x:row>
    <x:row r="12" ht="23" customHeight="1">
      <x:c r="A12" s="1" t="str">
        <x:v>R6</x:v>
      </x:c>
      <x:c r="B12" s="1" t="n">
        <x:f>SUMIF(Du_lieu!$B$2:$B$19,A12,Du_lieu!$N$2:$N$19)</x:f>
        <x:v>3</x:v>
      </x:c>
      <x:c r="C12" s="1" t="n">
        <x:f>SUMIF(Du_lieu!$B$2:$B$19,A12,Du_lieu!$O$2:$O$19)</x:f>
        <x:v>3</x:v>
      </x:c>
      <x:c r="D12" s="1" t="n">
        <x:f>SUMIF(Du_lieu!$B$2:$B$19,A12,Du_lieu!$V$2:$V$19)</x:f>
        <x:v>3</x:v>
      </x:c>
      <x:c r="E12" s="1" t="n">
        <x:f>COUNTIFS(Du_lieu!$B$2:$B$19,A12,Du_lieu!$P$2:$P$19,"&lt;&gt;0")</x:f>
        <x:v>0</x:v>
      </x:c>
      <x:c r="F12" s="1" t="n">
        <x:f>COUNTIFS(Du_lieu!$B$2:$B$19,A12,Du_lieu!$M$2:$M$19,"insufficient_evidence")</x:f>
        <x:v>0</x:v>
      </x:c>
      <x:c r="G12" s="1" t="n">
        <x:f>B12-C12</x:f>
        <x:v>0</x:v>
      </x:c>
      <x:c r="H12" s="8" t="n">
        <x:f>IF(B12=0,"n.a.",C12/B12)</x:f>
        <x:v>1</x:v>
      </x:c>
      <x:c r="I12" s="8" t="n">
        <x:f>IF(B12=0,"n.a.",D12/B12)</x:f>
        <x:v>1</x:v>
      </x:c>
      <x:c r="J12" s="1"/>
    </x:row>
    <x:row r="13" ht="23" customHeight="1">
      <x:c r="A13" s="7" t="str">
        <x:v>Tổng</x:v>
      </x:c>
      <x:c r="B13" s="7" t="n">
        <x:f>SUM(B7:B12)</x:f>
        <x:v>18</x:v>
      </x:c>
      <x:c r="C13" s="7" t="n">
        <x:f>SUM(C7:C12)</x:f>
        <x:v>18</x:v>
      </x:c>
      <x:c r="D13" s="7" t="n">
        <x:f>SUM(D7:D12)</x:f>
        <x:v>18</x:v>
      </x:c>
      <x:c r="E13" s="7" t="n">
        <x:f>SUM(E7:E12)</x:f>
        <x:v>0</x:v>
      </x:c>
      <x:c r="F13" s="7" t="n">
        <x:f>SUM(F7:F12)</x:f>
        <x:v>0</x:v>
      </x:c>
      <x:c r="G13" s="7" t="n">
        <x:f>SUM(G7:G12)</x:f>
        <x:v>0</x:v>
      </x:c>
      <x:c r="H13" s="9" t="n">
        <x:f>C13/B13</x:f>
        <x:v>1</x:v>
      </x:c>
      <x:c r="I13" s="9" t="n">
        <x:f>D13/B13</x:f>
        <x:v>1</x:v>
      </x:c>
      <x:c r="J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</x:row>
    <x:row r="15" ht="23" customHeight="1">
      <x:c r="A15" s="11" t="str">
        <x:v>Tỷ lệ = tử số / fault hợp lệ. Không có mẫu âm để tính accuracy tổng quát/FPR.</x:v>
      </x:c>
      <x:c r="B15" s="11"/>
      <x:c r="C15" s="11"/>
      <x:c r="D15" s="11"/>
      <x:c r="E15" s="11"/>
      <x:c r="F15" s="11"/>
      <x:c r="G15" s="11"/>
      <x:c r="H15" s="11"/>
      <x:c r="I15" s="11"/>
      <x:c r="J15" s="1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  <x:row r="17" ht="23" customHeight="1">
      <x:c r="A17" s="11" t="str">
        <x:v>Thời gian (giây) · DT/RR dùng cận dưới; cận trên có tại Du_lieu và CSV.</x:v>
      </x:c>
      <x:c r="B17" s="11"/>
      <x:c r="C17" s="11"/>
      <x:c r="D17" s="11"/>
      <x:c r="E17" s="11"/>
      <x:c r="F17" s="11"/>
      <x:c r="G17" s="11"/>
      <x:c r="H17" s="11"/>
      <x:c r="I17" s="11"/>
      <x:c r="J17" s="1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</x:row>
    <x:row r="19" ht="45" customHeight="1">
      <x:c r="A19" s="5" t="str">
        <x:v>Kịch bản</x:v>
      </x:c>
      <x:c r="B19" s="5" t="str">
        <x:v>DT min</x:v>
      </x:c>
      <x:c r="C19" s="5" t="str">
        <x:v>DT median</x:v>
      </x:c>
      <x:c r="D19" s="5" t="str">
        <x:v>DT max</x:v>
      </x:c>
      <x:c r="E19" s="5" t="str">
        <x:v>CLI min</x:v>
      </x:c>
      <x:c r="F19" s="5" t="str">
        <x:v>CLI median</x:v>
      </x:c>
      <x:c r="G19" s="5" t="str">
        <x:v>CLI max</x:v>
      </x:c>
      <x:c r="H19" s="5" t="str">
        <x:v>RR min</x:v>
      </x:c>
      <x:c r="I19" s="5" t="str">
        <x:v>RR median</x:v>
      </x:c>
      <x:c r="J19" s="5" t="str">
        <x:v>RR max</x:v>
      </x:c>
    </x:row>
    <x:row r="20" ht="23" customHeight="1">
      <x:c r="A20" s="1" t="str">
        <x:v>R1</x:v>
      </x:c>
      <x:c r="B20" s="10" t="n">
        <x:f>MIN(Du_lieu!R2:R4)</x:f>
        <x:v>15</x:v>
      </x:c>
      <x:c r="C20" s="10" t="n">
        <x:f>MEDIAN(Du_lieu!R2:R4)</x:f>
        <x:v>19</x:v>
      </x:c>
      <x:c r="D20" s="10" t="n">
        <x:f>MAX(Du_lieu!R2:R4)</x:f>
        <x:v>32</x:v>
      </x:c>
      <x:c r="E20" s="10" t="n">
        <x:f>MIN(Du_lieu!L2:L4)</x:f>
        <x:v>6.656132771000102</x:v>
      </x:c>
      <x:c r="F20" s="10" t="n">
        <x:f>MEDIAN(Du_lieu!L2:L4)</x:f>
        <x:v>6.660214351000832</x:v>
      </x:c>
      <x:c r="G20" s="10" t="n">
        <x:f>MAX(Du_lieu!L2:L4)</x:f>
        <x:v>6.6645233489998645</x:v>
      </x:c>
      <x:c r="H20" s="10" t="n">
        <x:f>MIN(Du_lieu!T2:T4)</x:f>
        <x:v>9</x:v>
      </x:c>
      <x:c r="I20" s="10" t="n">
        <x:f>MEDIAN(Du_lieu!T2:T4)</x:f>
        <x:v>14</x:v>
      </x:c>
      <x:c r="J20" s="10" t="n">
        <x:f>MAX(Du_lieu!T2:T4)</x:f>
        <x:v>26</x:v>
      </x:c>
    </x:row>
    <x:row r="21" ht="23" customHeight="1">
      <x:c r="A21" s="1" t="str">
        <x:v>R2</x:v>
      </x:c>
      <x:c r="B21" s="10" t="n">
        <x:f>MIN(Du_lieu!R5:R7)</x:f>
        <x:v>5</x:v>
      </x:c>
      <x:c r="C21" s="10" t="n">
        <x:f>MEDIAN(Du_lieu!R5:R7)</x:f>
        <x:v>10</x:v>
      </x:c>
      <x:c r="D21" s="10" t="n">
        <x:f>MAX(Du_lieu!R5:R7)</x:f>
        <x:v>23</x:v>
      </x:c>
      <x:c r="E21" s="10" t="n">
        <x:f>MIN(Du_lieu!L5:L7)</x:f>
        <x:v>0.5816052900008799</x:v>
      </x:c>
      <x:c r="F21" s="10" t="n">
        <x:f>MEDIAN(Du_lieu!L5:L7)</x:f>
        <x:v>0.6095698209992406</x:v>
      </x:c>
      <x:c r="G21" s="10" t="n">
        <x:f>MAX(Du_lieu!L5:L7)</x:f>
        <x:v>0.6380622520000543</x:v>
      </x:c>
      <x:c r="H21" s="10" t="n">
        <x:f>MIN(Du_lieu!T5:T7)</x:f>
        <x:v>8</x:v>
      </x:c>
      <x:c r="I21" s="10" t="n">
        <x:f>MEDIAN(Du_lieu!T5:T7)</x:f>
        <x:v>16</x:v>
      </x:c>
      <x:c r="J21" s="10" t="n">
        <x:f>MAX(Du_lieu!T5:T7)</x:f>
        <x:v>21</x:v>
      </x:c>
    </x:row>
    <x:row r="22" ht="23" customHeight="1">
      <x:c r="A22" s="1" t="str">
        <x:v>R3</x:v>
      </x:c>
      <x:c r="B22" s="10" t="n">
        <x:f>MIN(Du_lieu!R8:R10)</x:f>
        <x:v>183</x:v>
      </x:c>
      <x:c r="C22" s="10" t="n">
        <x:f>MEDIAN(Du_lieu!R8:R10)</x:f>
        <x:v>269</x:v>
      </x:c>
      <x:c r="D22" s="10" t="n">
        <x:f>MAX(Du_lieu!R8:R10)</x:f>
        <x:v>295</x:v>
      </x:c>
      <x:c r="E22" s="10" t="n">
        <x:f>MIN(Du_lieu!L8:L10)</x:f>
        <x:v>0.4693581869996706</x:v>
      </x:c>
      <x:c r="F22" s="10" t="n">
        <x:f>MEDIAN(Du_lieu!L8:L10)</x:f>
        <x:v>0.5827171430000817</x:v>
      </x:c>
      <x:c r="G22" s="10" t="n">
        <x:f>MAX(Du_lieu!L8:L10)</x:f>
        <x:v>0.6100030690004132</x:v>
      </x:c>
      <x:c r="H22" s="10" t="n">
        <x:f>MIN(Du_lieu!T8:T10)</x:f>
        <x:v>78</x:v>
      </x:c>
      <x:c r="I22" s="10" t="n">
        <x:f>MEDIAN(Du_lieu!T8:T10)</x:f>
        <x:v>99</x:v>
      </x:c>
      <x:c r="J22" s="10" t="n">
        <x:f>MAX(Du_lieu!T8:T10)</x:f>
        <x:v>102</x:v>
      </x:c>
    </x:row>
    <x:row r="23" ht="23" customHeight="1">
      <x:c r="A23" s="1" t="str">
        <x:v>R4</x:v>
      </x:c>
      <x:c r="B23" s="10" t="n">
        <x:f>MIN(Du_lieu!R11:R13)</x:f>
        <x:v>69</x:v>
      </x:c>
      <x:c r="C23" s="10" t="n">
        <x:f>MEDIAN(Du_lieu!R11:R13)</x:f>
        <x:v>77</x:v>
      </x:c>
      <x:c r="D23" s="10" t="n">
        <x:f>MAX(Du_lieu!R11:R13)</x:f>
        <x:v>83</x:v>
      </x:c>
      <x:c r="E23" s="10" t="n">
        <x:f>MIN(Du_lieu!L11:L13)</x:f>
        <x:v>0.5636634089996733</x:v>
      </x:c>
      <x:c r="F23" s="10" t="n">
        <x:f>MEDIAN(Du_lieu!L11:L13)</x:f>
        <x:v>0.7660349299994778</x:v>
      </x:c>
      <x:c r="G23" s="10" t="n">
        <x:f>MAX(Du_lieu!L11:L13)</x:f>
        <x:v>1.687615179000204</x:v>
      </x:c>
      <x:c r="H23" s="10" t="n">
        <x:f>MIN(Du_lieu!T11:T13)</x:f>
        <x:v>1</x:v>
      </x:c>
      <x:c r="I23" s="10" t="n">
        <x:f>MEDIAN(Du_lieu!T11:T13)</x:f>
        <x:v>8</x:v>
      </x:c>
      <x:c r="J23" s="10" t="n">
        <x:f>MAX(Du_lieu!T11:T13)</x:f>
        <x:v>19</x:v>
      </x:c>
    </x:row>
    <x:row r="24" ht="23" customHeight="1">
      <x:c r="A24" s="1" t="str">
        <x:v>R5</x:v>
      </x:c>
      <x:c r="B24" s="10" t="n">
        <x:f>MIN(Du_lieu!R14:R16)</x:f>
        <x:v>16</x:v>
      </x:c>
      <x:c r="C24" s="10" t="n">
        <x:f>MEDIAN(Du_lieu!R14:R16)</x:f>
        <x:v>24</x:v>
      </x:c>
      <x:c r="D24" s="10" t="n">
        <x:f>MAX(Du_lieu!R14:R16)</x:f>
        <x:v>34</x:v>
      </x:c>
      <x:c r="E24" s="10" t="n">
        <x:f>MIN(Du_lieu!L14:L16)</x:f>
        <x:v>2.4460983559984015</x:v>
      </x:c>
      <x:c r="F24" s="10" t="n">
        <x:f>MEDIAN(Du_lieu!L14:L16)</x:f>
        <x:v>2.5899169489994165</x:v>
      </x:c>
      <x:c r="G24" s="10" t="n">
        <x:f>MAX(Du_lieu!L14:L16)</x:f>
        <x:v>2.646103492000293</x:v>
      </x:c>
      <x:c r="H24" s="10" t="n">
        <x:f>MIN(Du_lieu!T14:T16)</x:f>
        <x:v>3</x:v>
      </x:c>
      <x:c r="I24" s="10" t="n">
        <x:f>MEDIAN(Du_lieu!T14:T16)</x:f>
        <x:v>14</x:v>
      </x:c>
      <x:c r="J24" s="10" t="n">
        <x:f>MAX(Du_lieu!T14:T16)</x:f>
        <x:v>25</x:v>
      </x:c>
    </x:row>
    <x:row r="25" ht="23" customHeight="1">
      <x:c r="A25" s="1" t="str">
        <x:v>R6</x:v>
      </x:c>
      <x:c r="B25" s="10" t="n">
        <x:f>MIN(Du_lieu!R17:R19)</x:f>
        <x:v>316</x:v>
      </x:c>
      <x:c r="C25" s="10" t="n">
        <x:f>MEDIAN(Du_lieu!R17:R19)</x:f>
        <x:v>356</x:v>
      </x:c>
      <x:c r="D25" s="10" t="n">
        <x:f>MAX(Du_lieu!R17:R19)</x:f>
        <x:v>391</x:v>
      </x:c>
      <x:c r="E25" s="10" t="n">
        <x:f>MIN(Du_lieu!L17:L19)</x:f>
        <x:v>0.4869947229999525</x:v>
      </x:c>
      <x:c r="F25" s="10" t="n">
        <x:f>MEDIAN(Du_lieu!L17:L19)</x:f>
        <x:v>0.5020442150016606</x:v>
      </x:c>
      <x:c r="G25" s="10" t="n">
        <x:f>MAX(Du_lieu!L17:L19)</x:f>
        <x:v>0.5221729459990456</x:v>
      </x:c>
      <x:c r="H25" s="10" t="n">
        <x:f>MIN(Du_lieu!T17:T19)</x:f>
        <x:v>32</x:v>
      </x:c>
      <x:c r="I25" s="10" t="n">
        <x:f>MEDIAN(Du_lieu!T17:T19)</x:f>
        <x:v>46</x:v>
      </x:c>
      <x:c r="J25" s="10" t="n">
        <x:f>MAX(Du_lieu!T17:T19)</x:f>
        <x:v>51</x:v>
      </x:c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 ht="23" customHeight="1">
      <x:c r="A27" s="11" t="str">
        <x:v>n=3 mỗi kịch bản; min/median/max chỉ mô tả mẫu thử, chưa chứng minh tổng quát.</x:v>
      </x:c>
      <x:c r="B27" s="11"/>
      <x:c r="C27" s="11"/>
      <x:c r="D27" s="11"/>
      <x:c r="E27" s="11"/>
      <x:c r="F27" s="11"/>
      <x:c r="G27" s="11"/>
      <x:c r="H27" s="11"/>
      <x:c r="I27" s="11"/>
      <x:c r="J27" s="1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 ht="23" customHeight="1">
      <x:c r="A29" s="11" t="str">
        <x:v>DT = problem − fault sau. RR = recovery − rollback sau; không phải downtime.</x:v>
      </x:c>
      <x:c r="B29" s="11"/>
      <x:c r="C29" s="11"/>
      <x:c r="D29" s="11"/>
      <x:c r="E29" s="11"/>
      <x:c r="F29" s="11"/>
      <x:c r="G29" s="11"/>
      <x:c r="H29" s="11"/>
      <x:c r="I29" s="11"/>
      <x:c r="J29" s="11"/>
    </x:row>
    <x:row r="30" ht="23" customHeight="1">
      <x:c r="A30" s="11" t="str">
        <x:v>CLI gồm API, thu thập, luật và lưu DB. Timestamp độ phân giải 1 giây.</x:v>
      </x:c>
      <x:c r="B30" s="11"/>
      <x:c r="C30" s="11"/>
      <x:c r="D30" s="11"/>
      <x:c r="E30" s="11"/>
      <x:c r="F30" s="11"/>
      <x:c r="G30" s="11"/>
      <x:c r="H30" s="11"/>
      <x:c r="I30" s="11"/>
      <x:c r="J30" s="1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</x:row>
    <x:row r="32" ht="23" customHeight="1">
      <x:c r="A32" s="11" t="str">
        <x:v>R5-03 hủy trước gây lỗi: loại khỏi mẫu số; R5-03-retry1 được tính hợp lệ.</x:v>
      </x:c>
      <x:c r="B32" s="11"/>
      <x:c r="C32" s="11"/>
      <x:c r="D32" s="11"/>
      <x:c r="E32" s="11"/>
      <x:c r="F32" s="11"/>
      <x:c r="G32" s="11"/>
      <x:c r="H32" s="11"/>
      <x:c r="I32" s="11"/>
      <x:c r="J32" s="11"/>
    </x:row>
    <x:row r="33" ht="23" customHeight="1">
      <x:c r="A33" s="11" t="str">
        <x:v>Giữ insufficient_evidence ở luật phụ; không thay bằng not_matched/true negative.</x:v>
      </x:c>
      <x:c r="B33" s="11"/>
      <x:c r="C33" s="11"/>
      <x:c r="D33" s="11"/>
      <x:c r="E33" s="11"/>
      <x:c r="F33" s="11"/>
      <x:c r="G33" s="11"/>
      <x:c r="H33" s="11"/>
      <x:c r="I33" s="11"/>
      <x:c r="J33" s="11"/>
    </x:row>
    <x:row r="34" ht="23" customHeight="1">
      <x:c r="A34" s="11" t="str">
        <x:v>Baseline 30 phút 06 giây; ảnh event chụp hồi cứu sau phục hồi.</x:v>
      </x:c>
      <x:c r="B34" s="11"/>
      <x:c r="C34" s="11"/>
      <x:c r="D34" s="11"/>
      <x:c r="E34" s="11"/>
      <x:c r="F34" s="11"/>
      <x:c r="G34" s="11"/>
      <x:c r="H34" s="11"/>
      <x:c r="I34" s="11"/>
      <x:c r="J34" s="1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</x:row>
    <x:row r="36" ht="23" customHeight="1">
      <x:c r="A36" s="11" t="str">
        <x:v>Công thức thống kê dùng nhóm 3 Run ID cố định theo kịch bản trong bảng đã nghiệm thu.</x:v>
      </x:c>
      <x:c r="B36" s="11"/>
      <x:c r="C36" s="11"/>
      <x:c r="D36" s="11"/>
      <x:c r="E36" s="11"/>
      <x:c r="F36" s="11"/>
      <x:c r="G36" s="11"/>
      <x:c r="H36" s="11"/>
      <x:c r="I36" s="11"/>
      <x:c r="J36" s="11"/>
    </x:row>
  </x:sheetData>
  <x:mergeCells>
    <x:mergeCell ref="A1:J1"/>
    <x:mergeCell ref="A3:J3"/>
    <x:mergeCell ref="A4:J4"/>
    <x:mergeCell ref="A15:J15"/>
    <x:mergeCell ref="A17:J17"/>
    <x:mergeCell ref="A27:J27"/>
    <x:mergeCell ref="A29:J29"/>
    <x:mergeCell ref="A30:J30"/>
    <x:mergeCell ref="A32:J32"/>
    <x:mergeCell ref="A33:J33"/>
    <x:mergeCell ref="A34:J34"/>
    <x:mergeCell ref="A36:J3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</x:cols>
  <x:sheetData>
    <x:row r="1" ht="44" customHeight="1">
      <x:c r="A1" s="5" t="str">
        <x:v>Run ID</x:v>
      </x:c>
      <x:c r="B1" s="5" t="str">
        <x:v>Kịch bản</x:v>
      </x:c>
      <x:c r="C1" s="5" t="str">
        <x:v>Problem ID</x:v>
      </x:c>
      <x:c r="D1" s="5" t="str">
        <x:v>Recovery ID</x:v>
      </x:c>
      <x:c r="E1" s="5" t="str">
        <x:v>Incident ID</x:v>
      </x:c>
      <x:c r="F1" s="5" t="str">
        <x:v>Fault trước (epoch)</x:v>
      </x:c>
      <x:c r="G1" s="5" t="str">
        <x:v>Fault sau (epoch)</x:v>
      </x:c>
      <x:c r="H1" s="5" t="str">
        <x:v>Problem (epoch)</x:v>
      </x:c>
      <x:c r="I1" s="5" t="str">
        <x:v>Rollback trước</x:v>
      </x:c>
      <x:c r="J1" s="5" t="str">
        <x:v>Rollback sau</x:v>
      </x:c>
      <x:c r="K1" s="5" t="str">
        <x:v>Recovery (epoch)</x:v>
      </x:c>
      <x:c r="L1" s="5" t="str">
        <x:v>CLI (giây)</x:v>
      </x:c>
      <x:c r="M1" s="5" t="str">
        <x:v>Luật mục tiêu</x:v>
      </x:c>
      <x:c r="N1" s="5" t="str">
        <x:v>Fault hợp lệ</x:v>
      </x:c>
      <x:c r="O1" s="5" t="str">
        <x:v>Phát hiện</x:v>
      </x:c>
      <x:c r="P1" s="5" t="str">
        <x:v>CLI exit</x:v>
      </x:c>
      <x:c r="Q1" s="5" t="str">
        <x:v>Lỗi kiểm tra</x:v>
      </x:c>
      <x:c r="R1" s="5" t="str">
        <x:v>DT dưới (giây)</x:v>
      </x:c>
      <x:c r="S1" s="5" t="str">
        <x:v>DT trên (giây)</x:v>
      </x:c>
      <x:c r="T1" s="5" t="str">
        <x:v>RR dưới (giây)</x:v>
      </x:c>
      <x:c r="U1" s="5" t="str">
        <x:v>RR trên (giây)</x:v>
      </x:c>
      <x:c r="V1" s="5" t="str">
        <x:v>Thành công</x:v>
      </x:c>
    </x:row>
    <x:row r="2" ht="23" customHeight="1">
      <x:c r="A2" s="1" t="str">
        <x:v>R1-01</x:v>
      </x:c>
      <x:c r="B2" s="1" t="str">
        <x:v>R1</x:v>
      </x:c>
      <x:c r="C2" s="1" t="str">
        <x:v>933</x:v>
      </x:c>
      <x:c r="D2" s="1" t="str">
        <x:v>934</x:v>
      </x:c>
      <x:c r="E2" s="1" t="n">
        <x:v>19</x:v>
      </x:c>
      <x:c r="F2" s="12" t="n">
        <x:v>1792170316</x:v>
      </x:c>
      <x:c r="G2" s="12" t="n">
        <x:v>1792170317</x:v>
      </x:c>
      <x:c r="H2" s="12" t="n">
        <x:v>1792170336</x:v>
      </x:c>
      <x:c r="I2" s="12" t="n">
        <x:v>1792170437</x:v>
      </x:c>
      <x:c r="J2" s="12" t="n">
        <x:v>1792170437</x:v>
      </x:c>
      <x:c r="K2" s="12" t="n">
        <x:v>1792170451</x:v>
      </x:c>
      <x:c r="L2" s="10" t="n">
        <x:v>6.656132771000102</x:v>
      </x:c>
      <x:c r="M2" s="1" t="str">
        <x:v>matched</x:v>
      </x:c>
      <x:c r="N2" s="1" t="n">
        <x:v>1</x:v>
      </x:c>
      <x:c r="O2" s="1" t="n">
        <x:v>1</x:v>
      </x:c>
      <x:c r="P2" s="1" t="n">
        <x:v>0</x:v>
      </x:c>
      <x:c r="Q2" s="1" t="n">
        <x:v>0</x:v>
      </x:c>
      <x:c r="R2" s="13" t="n">
        <x:f>H2-G2</x:f>
        <x:v>19</x:v>
      </x:c>
      <x:c r="S2" s="13" t="n">
        <x:f>H2-F2</x:f>
        <x:v>20</x:v>
      </x:c>
      <x:c r="T2" s="13" t="n">
        <x:f>K2-J2</x:f>
        <x:v>14</x:v>
      </x:c>
      <x:c r="U2" s="13" t="n">
        <x:f>K2-I2</x:f>
        <x:v>14</x:v>
      </x:c>
      <x:c r="V2" s="14" t="n">
        <x:f>IF(AND(N2=1,M2="matched",Q2=0,P2=0),1,0)</x:f>
        <x:v>1</x:v>
      </x:c>
    </x:row>
    <x:row r="3" ht="23" customHeight="1">
      <x:c r="A3" s="1" t="str">
        <x:v>R1-02</x:v>
      </x:c>
      <x:c r="B3" s="1" t="str">
        <x:v>R1</x:v>
      </x:c>
      <x:c r="C3" s="1" t="str">
        <x:v>935</x:v>
      </x:c>
      <x:c r="D3" s="1" t="str">
        <x:v>936</x:v>
      </x:c>
      <x:c r="E3" s="1" t="n">
        <x:v>20</x:v>
      </x:c>
      <x:c r="F3" s="12" t="n">
        <x:v>1792170591</x:v>
      </x:c>
      <x:c r="G3" s="12" t="n">
        <x:v>1792170591</x:v>
      </x:c>
      <x:c r="H3" s="12" t="n">
        <x:v>1792170606</x:v>
      </x:c>
      <x:c r="I3" s="12" t="n">
        <x:v>1792170712</x:v>
      </x:c>
      <x:c r="J3" s="12" t="n">
        <x:v>1792170712</x:v>
      </x:c>
      <x:c r="K3" s="12" t="n">
        <x:v>1792170721</x:v>
      </x:c>
      <x:c r="L3" s="10" t="n">
        <x:v>6.6645233489998645</x:v>
      </x:c>
      <x:c r="M3" s="1" t="str">
        <x:v>matched</x:v>
      </x:c>
      <x:c r="N3" s="1" t="n">
        <x:v>1</x:v>
      </x:c>
      <x:c r="O3" s="1" t="n">
        <x:v>1</x:v>
      </x:c>
      <x:c r="P3" s="1" t="n">
        <x:v>0</x:v>
      </x:c>
      <x:c r="Q3" s="1" t="n">
        <x:v>0</x:v>
      </x:c>
      <x:c r="R3" s="13" t="n">
        <x:f>H3-G3</x:f>
        <x:v>15</x:v>
      </x:c>
      <x:c r="S3" s="13" t="n">
        <x:f>H3-F3</x:f>
        <x:v>15</x:v>
      </x:c>
      <x:c r="T3" s="13" t="n">
        <x:f>K3-J3</x:f>
        <x:v>9</x:v>
      </x:c>
      <x:c r="U3" s="13" t="n">
        <x:f>K3-I3</x:f>
        <x:v>9</x:v>
      </x:c>
      <x:c r="V3" s="14" t="n">
        <x:f>IF(AND(N3=1,M3="matched",Q3=0,P3=0),1,0)</x:f>
        <x:v>1</x:v>
      </x:c>
    </x:row>
    <x:row r="4" ht="23" customHeight="1">
      <x:c r="A4" s="1" t="str">
        <x:v>R1-03</x:v>
      </x:c>
      <x:c r="B4" s="1" t="str">
        <x:v>R1</x:v>
      </x:c>
      <x:c r="C4" s="1" t="str">
        <x:v>937</x:v>
      </x:c>
      <x:c r="D4" s="1" t="str">
        <x:v>938</x:v>
      </x:c>
      <x:c r="E4" s="1" t="n">
        <x:v>21</x:v>
      </x:c>
      <x:c r="F4" s="12" t="n">
        <x:v>1792170784</x:v>
      </x:c>
      <x:c r="G4" s="12" t="n">
        <x:v>1792170784</x:v>
      </x:c>
      <x:c r="H4" s="12" t="n">
        <x:v>1792170816</x:v>
      </x:c>
      <x:c r="I4" s="12" t="n">
        <x:v>1792170905</x:v>
      </x:c>
      <x:c r="J4" s="12" t="n">
        <x:v>1792170905</x:v>
      </x:c>
      <x:c r="K4" s="12" t="n">
        <x:v>1792170931</x:v>
      </x:c>
      <x:c r="L4" s="10" t="n">
        <x:v>6.660214351000832</x:v>
      </x:c>
      <x:c r="M4" s="1" t="str">
        <x:v>matched</x:v>
      </x:c>
      <x:c r="N4" s="1" t="n">
        <x:v>1</x:v>
      </x:c>
      <x:c r="O4" s="1" t="n">
        <x:v>1</x:v>
      </x:c>
      <x:c r="P4" s="1" t="n">
        <x:v>0</x:v>
      </x:c>
      <x:c r="Q4" s="1" t="n">
        <x:v>0</x:v>
      </x:c>
      <x:c r="R4" s="13" t="n">
        <x:f>H4-G4</x:f>
        <x:v>32</x:v>
      </x:c>
      <x:c r="S4" s="13" t="n">
        <x:f>H4-F4</x:f>
        <x:v>32</x:v>
      </x:c>
      <x:c r="T4" s="13" t="n">
        <x:f>K4-J4</x:f>
        <x:v>26</x:v>
      </x:c>
      <x:c r="U4" s="13" t="n">
        <x:f>K4-I4</x:f>
        <x:v>26</x:v>
      </x:c>
      <x:c r="V4" s="14" t="n">
        <x:f>IF(AND(N4=1,M4="matched",Q4=0,P4=0),1,0)</x:f>
        <x:v>1</x:v>
      </x:c>
    </x:row>
    <x:row r="5" ht="23" customHeight="1">
      <x:c r="A5" s="1" t="str">
        <x:v>R2-01</x:v>
      </x:c>
      <x:c r="B5" s="1" t="str">
        <x:v>R2</x:v>
      </x:c>
      <x:c r="C5" s="1" t="str">
        <x:v>939</x:v>
      </x:c>
      <x:c r="D5" s="1" t="str">
        <x:v>940</x:v>
      </x:c>
      <x:c r="E5" s="1" t="n">
        <x:v>22</x:v>
      </x:c>
      <x:c r="F5" s="12" t="n">
        <x:v>1792171071</x:v>
      </x:c>
      <x:c r="G5" s="12" t="n">
        <x:v>1792171071</x:v>
      </x:c>
      <x:c r="H5" s="12" t="n">
        <x:v>1792171081</x:v>
      </x:c>
      <x:c r="I5" s="12" t="n">
        <x:v>1792171120</x:v>
      </x:c>
      <x:c r="J5" s="12" t="n">
        <x:v>1792171120</x:v>
      </x:c>
      <x:c r="K5" s="12" t="n">
        <x:v>1792171141</x:v>
      </x:c>
      <x:c r="L5" s="10" t="n">
        <x:v>0.6095698209992406</x:v>
      </x:c>
      <x:c r="M5" s="1" t="str">
        <x:v>matched</x:v>
      </x:c>
      <x:c r="N5" s="1" t="n">
        <x:v>1</x:v>
      </x:c>
      <x:c r="O5" s="1" t="n">
        <x:v>1</x:v>
      </x:c>
      <x:c r="P5" s="1" t="n">
        <x:v>0</x:v>
      </x:c>
      <x:c r="Q5" s="1" t="n">
        <x:v>0</x:v>
      </x:c>
      <x:c r="R5" s="13" t="n">
        <x:f>H5-G5</x:f>
        <x:v>10</x:v>
      </x:c>
      <x:c r="S5" s="13" t="n">
        <x:f>H5-F5</x:f>
        <x:v>10</x:v>
      </x:c>
      <x:c r="T5" s="13" t="n">
        <x:f>K5-J5</x:f>
        <x:v>21</x:v>
      </x:c>
      <x:c r="U5" s="13" t="n">
        <x:f>K5-I5</x:f>
        <x:v>21</x:v>
      </x:c>
      <x:c r="V5" s="14" t="n">
        <x:f>IF(AND(N5=1,M5="matched",Q5=0,P5=0),1,0)</x:f>
        <x:v>1</x:v>
      </x:c>
    </x:row>
    <x:row r="6" ht="23" customHeight="1">
      <x:c r="A6" s="1" t="str">
        <x:v>R2-02</x:v>
      </x:c>
      <x:c r="B6" s="1" t="str">
        <x:v>R2</x:v>
      </x:c>
      <x:c r="C6" s="1" t="str">
        <x:v>941</x:v>
      </x:c>
      <x:c r="D6" s="1" t="str">
        <x:v>942</x:v>
      </x:c>
      <x:c r="E6" s="1" t="n">
        <x:v>23</x:v>
      </x:c>
      <x:c r="F6" s="12" t="n">
        <x:v>1792171166</x:v>
      </x:c>
      <x:c r="G6" s="12" t="n">
        <x:v>1792171166</x:v>
      </x:c>
      <x:c r="H6" s="12" t="n">
        <x:v>1792171171</x:v>
      </x:c>
      <x:c r="I6" s="12" t="n">
        <x:v>1792171223</x:v>
      </x:c>
      <x:c r="J6" s="12" t="n">
        <x:v>1792171223</x:v>
      </x:c>
      <x:c r="K6" s="12" t="n">
        <x:v>1792171231</x:v>
      </x:c>
      <x:c r="L6" s="10" t="n">
        <x:v>0.6380622520000543</x:v>
      </x:c>
      <x:c r="M6" s="1" t="str">
        <x:v>matched</x:v>
      </x:c>
      <x:c r="N6" s="1" t="n">
        <x:v>1</x:v>
      </x:c>
      <x:c r="O6" s="1" t="n">
        <x:v>1</x:v>
      </x:c>
      <x:c r="P6" s="1" t="n">
        <x:v>0</x:v>
      </x:c>
      <x:c r="Q6" s="1" t="n">
        <x:v>0</x:v>
      </x:c>
      <x:c r="R6" s="13" t="n">
        <x:f>H6-G6</x:f>
        <x:v>5</x:v>
      </x:c>
      <x:c r="S6" s="13" t="n">
        <x:f>H6-F6</x:f>
        <x:v>5</x:v>
      </x:c>
      <x:c r="T6" s="13" t="n">
        <x:f>K6-J6</x:f>
        <x:v>8</x:v>
      </x:c>
      <x:c r="U6" s="13" t="n">
        <x:f>K6-I6</x:f>
        <x:v>8</x:v>
      </x:c>
      <x:c r="V6" s="14" t="n">
        <x:f>IF(AND(N6=1,M6="matched",Q6=0,P6=0),1,0)</x:f>
        <x:v>1</x:v>
      </x:c>
    </x:row>
    <x:row r="7" ht="23" customHeight="1">
      <x:c r="A7" s="1" t="str">
        <x:v>R2-03</x:v>
      </x:c>
      <x:c r="B7" s="1" t="str">
        <x:v>R2</x:v>
      </x:c>
      <x:c r="C7" s="1" t="str">
        <x:v>943</x:v>
      </x:c>
      <x:c r="D7" s="1" t="str">
        <x:v>944</x:v>
      </x:c>
      <x:c r="E7" s="1" t="n">
        <x:v>24</x:v>
      </x:c>
      <x:c r="F7" s="12" t="n">
        <x:v>1792171298</x:v>
      </x:c>
      <x:c r="G7" s="12" t="n">
        <x:v>1792171298</x:v>
      </x:c>
      <x:c r="H7" s="12" t="n">
        <x:v>1792171321</x:v>
      </x:c>
      <x:c r="I7" s="12" t="n">
        <x:v>1792171366</x:v>
      </x:c>
      <x:c r="J7" s="12" t="n">
        <x:v>1792171366</x:v>
      </x:c>
      <x:c r="K7" s="12" t="n">
        <x:v>1792171382</x:v>
      </x:c>
      <x:c r="L7" s="10" t="n">
        <x:v>0.5816052900008799</x:v>
      </x:c>
      <x:c r="M7" s="1" t="str">
        <x:v>matched</x:v>
      </x:c>
      <x:c r="N7" s="1" t="n">
        <x:v>1</x:v>
      </x:c>
      <x:c r="O7" s="1" t="n">
        <x:v>1</x:v>
      </x:c>
      <x:c r="P7" s="1" t="n">
        <x:v>0</x:v>
      </x:c>
      <x:c r="Q7" s="1" t="n">
        <x:v>0</x:v>
      </x:c>
      <x:c r="R7" s="13" t="n">
        <x:f>H7-G7</x:f>
        <x:v>23</x:v>
      </x:c>
      <x:c r="S7" s="13" t="n">
        <x:f>H7-F7</x:f>
        <x:v>23</x:v>
      </x:c>
      <x:c r="T7" s="13" t="n">
        <x:f>K7-J7</x:f>
        <x:v>16</x:v>
      </x:c>
      <x:c r="U7" s="13" t="n">
        <x:f>K7-I7</x:f>
        <x:v>16</x:v>
      </x:c>
      <x:c r="V7" s="14" t="n">
        <x:f>IF(AND(N7=1,M7="matched",Q7=0,P7=0),1,0)</x:f>
        <x:v>1</x:v>
      </x:c>
    </x:row>
    <x:row r="8" ht="23" customHeight="1">
      <x:c r="A8" s="1" t="str">
        <x:v>R3-01</x:v>
      </x:c>
      <x:c r="B8" s="1" t="str">
        <x:v>R3</x:v>
      </x:c>
      <x:c r="C8" s="1" t="str">
        <x:v>945</x:v>
      </x:c>
      <x:c r="D8" s="1" t="str">
        <x:v>950</x:v>
      </x:c>
      <x:c r="E8" s="1" t="n">
        <x:v>25</x:v>
      </x:c>
      <x:c r="F8" s="12" t="n">
        <x:v>1792171438</x:v>
      </x:c>
      <x:c r="G8" s="12" t="n">
        <x:v>1792171438</x:v>
      </x:c>
      <x:c r="H8" s="12" t="n">
        <x:v>1792171621</x:v>
      </x:c>
      <x:c r="I8" s="12" t="n">
        <x:v>1792171637</x:v>
      </x:c>
      <x:c r="J8" s="12" t="n">
        <x:v>1792171639</x:v>
      </x:c>
      <x:c r="K8" s="12" t="n">
        <x:v>1792171741</x:v>
      </x:c>
      <x:c r="L8" s="10" t="n">
        <x:v>0.6100030690004132</x:v>
      </x:c>
      <x:c r="M8" s="1" t="str">
        <x:v>matched</x:v>
      </x:c>
      <x:c r="N8" s="1" t="n">
        <x:v>1</x:v>
      </x:c>
      <x:c r="O8" s="1" t="n">
        <x:v>1</x:v>
      </x:c>
      <x:c r="P8" s="1" t="n">
        <x:v>0</x:v>
      </x:c>
      <x:c r="Q8" s="1" t="n">
        <x:v>0</x:v>
      </x:c>
      <x:c r="R8" s="13" t="n">
        <x:f>H8-G8</x:f>
        <x:v>183</x:v>
      </x:c>
      <x:c r="S8" s="13" t="n">
        <x:f>H8-F8</x:f>
        <x:v>183</x:v>
      </x:c>
      <x:c r="T8" s="13" t="n">
        <x:f>K8-J8</x:f>
        <x:v>102</x:v>
      </x:c>
      <x:c r="U8" s="13" t="n">
        <x:f>K8-I8</x:f>
        <x:v>104</x:v>
      </x:c>
      <x:c r="V8" s="14" t="n">
        <x:f>IF(AND(N8=1,M8="matched",Q8=0,P8=0),1,0)</x:f>
        <x:v>1</x:v>
      </x:c>
    </x:row>
    <x:row r="9" ht="23" customHeight="1">
      <x:c r="A9" s="1" t="str">
        <x:v>R3-02</x:v>
      </x:c>
      <x:c r="B9" s="1" t="str">
        <x:v>R3</x:v>
      </x:c>
      <x:c r="C9" s="1" t="str">
        <x:v>951</x:v>
      </x:c>
      <x:c r="D9" s="1" t="str">
        <x:v>956</x:v>
      </x:c>
      <x:c r="E9" s="1" t="n">
        <x:v>26</x:v>
      </x:c>
      <x:c r="F9" s="12" t="n">
        <x:v>1792171806</x:v>
      </x:c>
      <x:c r="G9" s="12" t="n">
        <x:v>1792171806</x:v>
      </x:c>
      <x:c r="H9" s="12" t="n">
        <x:v>1792172101</x:v>
      </x:c>
      <x:c r="I9" s="12" t="n">
        <x:v>1792172121</x:v>
      </x:c>
      <x:c r="J9" s="12" t="n">
        <x:v>1792172122</x:v>
      </x:c>
      <x:c r="K9" s="12" t="n">
        <x:v>1792172221</x:v>
      </x:c>
      <x:c r="L9" s="10" t="n">
        <x:v>0.4693581869996706</x:v>
      </x:c>
      <x:c r="M9" s="1" t="str">
        <x:v>matched</x:v>
      </x:c>
      <x:c r="N9" s="1" t="n">
        <x:v>1</x:v>
      </x:c>
      <x:c r="O9" s="1" t="n">
        <x:v>1</x:v>
      </x:c>
      <x:c r="P9" s="1" t="n">
        <x:v>0</x:v>
      </x:c>
      <x:c r="Q9" s="1" t="n">
        <x:v>0</x:v>
      </x:c>
      <x:c r="R9" s="13" t="n">
        <x:f>H9-G9</x:f>
        <x:v>295</x:v>
      </x:c>
      <x:c r="S9" s="13" t="n">
        <x:f>H9-F9</x:f>
        <x:v>295</x:v>
      </x:c>
      <x:c r="T9" s="13" t="n">
        <x:f>K9-J9</x:f>
        <x:v>99</x:v>
      </x:c>
      <x:c r="U9" s="13" t="n">
        <x:f>K9-I9</x:f>
        <x:v>100</x:v>
      </x:c>
      <x:c r="V9" s="14" t="n">
        <x:f>IF(AND(N9=1,M9="matched",Q9=0,P9=0),1,0)</x:f>
        <x:v>1</x:v>
      </x:c>
    </x:row>
    <x:row r="10" ht="23" customHeight="1">
      <x:c r="A10" s="1" t="str">
        <x:v>R3-03</x:v>
      </x:c>
      <x:c r="B10" s="1" t="str">
        <x:v>R3</x:v>
      </x:c>
      <x:c r="C10" s="1" t="str">
        <x:v>957</x:v>
      </x:c>
      <x:c r="D10" s="1" t="str">
        <x:v>962</x:v>
      </x:c>
      <x:c r="E10" s="1" t="n">
        <x:v>27</x:v>
      </x:c>
      <x:c r="F10" s="12" t="n">
        <x:v>1792172312</x:v>
      </x:c>
      <x:c r="G10" s="12" t="n">
        <x:v>1792172312</x:v>
      </x:c>
      <x:c r="H10" s="12" t="n">
        <x:v>1792172581</x:v>
      </x:c>
      <x:c r="I10" s="12" t="n">
        <x:v>1792172622</x:v>
      </x:c>
      <x:c r="J10" s="12" t="n">
        <x:v>1792172623</x:v>
      </x:c>
      <x:c r="K10" s="12" t="n">
        <x:v>1792172701</x:v>
      </x:c>
      <x:c r="L10" s="10" t="n">
        <x:v>0.5827171430000817</x:v>
      </x:c>
      <x:c r="M10" s="1" t="str">
        <x:v>matched</x:v>
      </x:c>
      <x:c r="N10" s="1" t="n">
        <x:v>1</x:v>
      </x:c>
      <x:c r="O10" s="1" t="n">
        <x:v>1</x:v>
      </x:c>
      <x:c r="P10" s="1" t="n">
        <x:v>0</x:v>
      </x:c>
      <x:c r="Q10" s="1" t="n">
        <x:v>0</x:v>
      </x:c>
      <x:c r="R10" s="13" t="n">
        <x:f>H10-G10</x:f>
        <x:v>269</x:v>
      </x:c>
      <x:c r="S10" s="13" t="n">
        <x:f>H10-F10</x:f>
        <x:v>269</x:v>
      </x:c>
      <x:c r="T10" s="13" t="n">
        <x:f>K10-J10</x:f>
        <x:v>78</x:v>
      </x:c>
      <x:c r="U10" s="13" t="n">
        <x:f>K10-I10</x:f>
        <x:v>79</x:v>
      </x:c>
      <x:c r="V10" s="14" t="n">
        <x:f>IF(AND(N10=1,M10="matched",Q10=0,P10=0),1,0)</x:f>
        <x:v>1</x:v>
      </x:c>
    </x:row>
    <x:row r="11" ht="23" customHeight="1">
      <x:c r="A11" s="1" t="str">
        <x:v>R4-01</x:v>
      </x:c>
      <x:c r="B11" s="1" t="str">
        <x:v>R4</x:v>
      </x:c>
      <x:c r="C11" s="1" t="str">
        <x:v>963</x:v>
      </x:c>
      <x:c r="D11" s="1" t="str">
        <x:v>964</x:v>
      </x:c>
      <x:c r="E11" s="1" t="n">
        <x:v>28</x:v>
      </x:c>
      <x:c r="F11" s="12" t="n">
        <x:v>1792172882</x:v>
      </x:c>
      <x:c r="G11" s="12" t="n">
        <x:v>1792172882</x:v>
      </x:c>
      <x:c r="H11" s="12" t="n">
        <x:v>1792172951</x:v>
      </x:c>
      <x:c r="I11" s="12" t="n">
        <x:v>1792173100</x:v>
      </x:c>
      <x:c r="J11" s="12" t="n">
        <x:v>1792173100</x:v>
      </x:c>
      <x:c r="K11" s="12" t="n">
        <x:v>1792173101</x:v>
      </x:c>
      <x:c r="L11" s="10" t="n">
        <x:v>0.7660349299994778</x:v>
      </x:c>
      <x:c r="M11" s="1" t="str">
        <x:v>matched</x:v>
      </x:c>
      <x:c r="N11" s="1" t="n">
        <x:v>1</x:v>
      </x:c>
      <x:c r="O11" s="1" t="n">
        <x:v>1</x:v>
      </x:c>
      <x:c r="P11" s="1" t="n">
        <x:v>0</x:v>
      </x:c>
      <x:c r="Q11" s="1" t="n">
        <x:v>0</x:v>
      </x:c>
      <x:c r="R11" s="13" t="n">
        <x:f>H11-G11</x:f>
        <x:v>69</x:v>
      </x:c>
      <x:c r="S11" s="13" t="n">
        <x:f>H11-F11</x:f>
        <x:v>69</x:v>
      </x:c>
      <x:c r="T11" s="13" t="n">
        <x:f>K11-J11</x:f>
        <x:v>1</x:v>
      </x:c>
      <x:c r="U11" s="13" t="n">
        <x:f>K11-I11</x:f>
        <x:v>1</x:v>
      </x:c>
      <x:c r="V11" s="14" t="n">
        <x:f>IF(AND(N11=1,M11="matched",Q11=0,P11=0),1,0)</x:f>
        <x:v>1</x:v>
      </x:c>
    </x:row>
    <x:row r="12" ht="23" customHeight="1">
      <x:c r="A12" s="1" t="str">
        <x:v>R4-02</x:v>
      </x:c>
      <x:c r="B12" s="1" t="str">
        <x:v>R4</x:v>
      </x:c>
      <x:c r="C12" s="1" t="str">
        <x:v>965</x:v>
      </x:c>
      <x:c r="D12" s="1" t="str">
        <x:v>966</x:v>
      </x:c>
      <x:c r="E12" s="1" t="n">
        <x:v>29</x:v>
      </x:c>
      <x:c r="F12" s="12" t="n">
        <x:v>1792173174</x:v>
      </x:c>
      <x:c r="G12" s="12" t="n">
        <x:v>1792173174</x:v>
      </x:c>
      <x:c r="H12" s="12" t="n">
        <x:v>1792173251</x:v>
      </x:c>
      <x:c r="I12" s="12" t="n">
        <x:v>1792173352</x:v>
      </x:c>
      <x:c r="J12" s="12" t="n">
        <x:v>1792173352</x:v>
      </x:c>
      <x:c r="K12" s="12" t="n">
        <x:v>1792173371</x:v>
      </x:c>
      <x:c r="L12" s="10" t="n">
        <x:v>0.5636634089996733</x:v>
      </x:c>
      <x:c r="M12" s="1" t="str">
        <x:v>matched</x:v>
      </x:c>
      <x:c r="N12" s="1" t="n">
        <x:v>1</x:v>
      </x:c>
      <x:c r="O12" s="1" t="n">
        <x:v>1</x:v>
      </x:c>
      <x:c r="P12" s="1" t="n">
        <x:v>0</x:v>
      </x:c>
      <x:c r="Q12" s="1" t="n">
        <x:v>0</x:v>
      </x:c>
      <x:c r="R12" s="13" t="n">
        <x:f>H12-G12</x:f>
        <x:v>77</x:v>
      </x:c>
      <x:c r="S12" s="13" t="n">
        <x:f>H12-F12</x:f>
        <x:v>77</x:v>
      </x:c>
      <x:c r="T12" s="13" t="n">
        <x:f>K12-J12</x:f>
        <x:v>19</x:v>
      </x:c>
      <x:c r="U12" s="13" t="n">
        <x:f>K12-I12</x:f>
        <x:v>19</x:v>
      </x:c>
      <x:c r="V12" s="14" t="n">
        <x:f>IF(AND(N12=1,M12="matched",Q12=0,P12=0),1,0)</x:f>
        <x:v>1</x:v>
      </x:c>
    </x:row>
    <x:row r="13" ht="23" customHeight="1">
      <x:c r="A13" s="1" t="str">
        <x:v>R4-03</x:v>
      </x:c>
      <x:c r="B13" s="1" t="str">
        <x:v>R4</x:v>
      </x:c>
      <x:c r="C13" s="1" t="str">
        <x:v>967</x:v>
      </x:c>
      <x:c r="D13" s="1" t="str">
        <x:v>968</x:v>
      </x:c>
      <x:c r="E13" s="1" t="n">
        <x:v>30</x:v>
      </x:c>
      <x:c r="F13" s="12" t="n">
        <x:v>1792173499</x:v>
      </x:c>
      <x:c r="G13" s="12" t="n">
        <x:v>1792173499</x:v>
      </x:c>
      <x:c r="H13" s="12" t="n">
        <x:v>1792173582</x:v>
      </x:c>
      <x:c r="I13" s="12" t="n">
        <x:v>1792173723</x:v>
      </x:c>
      <x:c r="J13" s="12" t="n">
        <x:v>1792173723</x:v>
      </x:c>
      <x:c r="K13" s="12" t="n">
        <x:v>1792173731</x:v>
      </x:c>
      <x:c r="L13" s="10" t="n">
        <x:v>1.687615179000204</x:v>
      </x:c>
      <x:c r="M13" s="1" t="str">
        <x:v>matched</x:v>
      </x:c>
      <x:c r="N13" s="1" t="n">
        <x:v>1</x:v>
      </x:c>
      <x:c r="O13" s="1" t="n">
        <x:v>1</x:v>
      </x:c>
      <x:c r="P13" s="1" t="n">
        <x:v>0</x:v>
      </x:c>
      <x:c r="Q13" s="1" t="n">
        <x:v>0</x:v>
      </x:c>
      <x:c r="R13" s="13" t="n">
        <x:f>H13-G13</x:f>
        <x:v>83</x:v>
      </x:c>
      <x:c r="S13" s="13" t="n">
        <x:f>H13-F13</x:f>
        <x:v>83</x:v>
      </x:c>
      <x:c r="T13" s="13" t="n">
        <x:f>K13-J13</x:f>
        <x:v>8</x:v>
      </x:c>
      <x:c r="U13" s="13" t="n">
        <x:f>K13-I13</x:f>
        <x:v>8</x:v>
      </x:c>
      <x:c r="V13" s="14" t="n">
        <x:f>IF(AND(N13=1,M13="matched",Q13=0,P13=0),1,0)</x:f>
        <x:v>1</x:v>
      </x:c>
    </x:row>
    <x:row r="14" ht="23" customHeight="1">
      <x:c r="A14" s="1" t="str">
        <x:v>R5-01</x:v>
      </x:c>
      <x:c r="B14" s="1" t="str">
        <x:v>R5</x:v>
      </x:c>
      <x:c r="C14" s="1" t="str">
        <x:v>969</x:v>
      </x:c>
      <x:c r="D14" s="1" t="str">
        <x:v>970</x:v>
      </x:c>
      <x:c r="E14" s="1" t="n">
        <x:v>31</x:v>
      </x:c>
      <x:c r="F14" s="12" t="n">
        <x:v>1792173800</x:v>
      </x:c>
      <x:c r="G14" s="12" t="n">
        <x:v>1792173800</x:v>
      </x:c>
      <x:c r="H14" s="12" t="n">
        <x:v>1792173816</x:v>
      </x:c>
      <x:c r="I14" s="12" t="n">
        <x:v>1792173906</x:v>
      </x:c>
      <x:c r="J14" s="12" t="n">
        <x:v>1792173906</x:v>
      </x:c>
      <x:c r="K14" s="12" t="n">
        <x:v>1792173931</x:v>
      </x:c>
      <x:c r="L14" s="10" t="n">
        <x:v>2.646103492000293</x:v>
      </x:c>
      <x:c r="M14" s="1" t="str">
        <x:v>matched</x:v>
      </x:c>
      <x:c r="N14" s="1" t="n">
        <x:v>1</x:v>
      </x:c>
      <x:c r="O14" s="1" t="n">
        <x:v>1</x:v>
      </x:c>
      <x:c r="P14" s="1" t="n">
        <x:v>0</x:v>
      </x:c>
      <x:c r="Q14" s="1" t="n">
        <x:v>0</x:v>
      </x:c>
      <x:c r="R14" s="13" t="n">
        <x:f>H14-G14</x:f>
        <x:v>16</x:v>
      </x:c>
      <x:c r="S14" s="13" t="n">
        <x:f>H14-F14</x:f>
        <x:v>16</x:v>
      </x:c>
      <x:c r="T14" s="13" t="n">
        <x:f>K14-J14</x:f>
        <x:v>25</x:v>
      </x:c>
      <x:c r="U14" s="13" t="n">
        <x:f>K14-I14</x:f>
        <x:v>25</x:v>
      </x:c>
      <x:c r="V14" s="14" t="n">
        <x:f>IF(AND(N14=1,M14="matched",Q14=0,P14=0),1,0)</x:f>
        <x:v>1</x:v>
      </x:c>
    </x:row>
    <x:row r="15" ht="23" customHeight="1">
      <x:c r="A15" s="1" t="str">
        <x:v>R5-02</x:v>
      </x:c>
      <x:c r="B15" s="1" t="str">
        <x:v>R5</x:v>
      </x:c>
      <x:c r="C15" s="1" t="str">
        <x:v>971</x:v>
      </x:c>
      <x:c r="D15" s="1" t="str">
        <x:v>972</x:v>
      </x:c>
      <x:c r="E15" s="1" t="n">
        <x:v>32</x:v>
      </x:c>
      <x:c r="F15" s="12" t="n">
        <x:v>1792174032</x:v>
      </x:c>
      <x:c r="G15" s="12" t="n">
        <x:v>1792174032</x:v>
      </x:c>
      <x:c r="H15" s="12" t="n">
        <x:v>1792174056</x:v>
      </x:c>
      <x:c r="I15" s="12" t="n">
        <x:v>1792174108</x:v>
      </x:c>
      <x:c r="J15" s="12" t="n">
        <x:v>1792174108</x:v>
      </x:c>
      <x:c r="K15" s="12" t="n">
        <x:v>1792174111</x:v>
      </x:c>
      <x:c r="L15" s="10" t="n">
        <x:v>2.5899169489994165</x:v>
      </x:c>
      <x:c r="M15" s="1" t="str">
        <x:v>matched</x:v>
      </x:c>
      <x:c r="N15" s="1" t="n">
        <x:v>1</x:v>
      </x:c>
      <x:c r="O15" s="1" t="n">
        <x:v>1</x:v>
      </x:c>
      <x:c r="P15" s="1" t="n">
        <x:v>0</x:v>
      </x:c>
      <x:c r="Q15" s="1" t="n">
        <x:v>0</x:v>
      </x:c>
      <x:c r="R15" s="13" t="n">
        <x:f>H15-G15</x:f>
        <x:v>24</x:v>
      </x:c>
      <x:c r="S15" s="13" t="n">
        <x:f>H15-F15</x:f>
        <x:v>24</x:v>
      </x:c>
      <x:c r="T15" s="13" t="n">
        <x:f>K15-J15</x:f>
        <x:v>3</x:v>
      </x:c>
      <x:c r="U15" s="13" t="n">
        <x:f>K15-I15</x:f>
        <x:v>3</x:v>
      </x:c>
      <x:c r="V15" s="14" t="n">
        <x:f>IF(AND(N15=1,M15="matched",Q15=0,P15=0),1,0)</x:f>
        <x:v>1</x:v>
      </x:c>
    </x:row>
    <x:row r="16" ht="23" customHeight="1">
      <x:c r="A16" s="1" t="str">
        <x:v>R5-03-retry1</x:v>
      </x:c>
      <x:c r="B16" s="1" t="str">
        <x:v>R5</x:v>
      </x:c>
      <x:c r="C16" s="1" t="str">
        <x:v>973</x:v>
      </x:c>
      <x:c r="D16" s="1" t="str">
        <x:v>974</x:v>
      </x:c>
      <x:c r="E16" s="1" t="n">
        <x:v>33</x:v>
      </x:c>
      <x:c r="F16" s="12" t="n">
        <x:v>1792184852</x:v>
      </x:c>
      <x:c r="G16" s="12" t="n">
        <x:v>1792184852</x:v>
      </x:c>
      <x:c r="H16" s="12" t="n">
        <x:v>1792184886</x:v>
      </x:c>
      <x:c r="I16" s="12" t="n">
        <x:v>1792184927</x:v>
      </x:c>
      <x:c r="J16" s="12" t="n">
        <x:v>1792184927</x:v>
      </x:c>
      <x:c r="K16" s="12" t="n">
        <x:v>1792184941</x:v>
      </x:c>
      <x:c r="L16" s="10" t="n">
        <x:v>2.4460983559984015</x:v>
      </x:c>
      <x:c r="M16" s="1" t="str">
        <x:v>matched</x:v>
      </x:c>
      <x:c r="N16" s="1" t="n">
        <x:v>1</x:v>
      </x:c>
      <x:c r="O16" s="1" t="n">
        <x:v>1</x:v>
      </x:c>
      <x:c r="P16" s="1" t="n">
        <x:v>0</x:v>
      </x:c>
      <x:c r="Q16" s="1" t="n">
        <x:v>0</x:v>
      </x:c>
      <x:c r="R16" s="13" t="n">
        <x:f>H16-G16</x:f>
        <x:v>34</x:v>
      </x:c>
      <x:c r="S16" s="13" t="n">
        <x:f>H16-F16</x:f>
        <x:v>34</x:v>
      </x:c>
      <x:c r="T16" s="13" t="n">
        <x:f>K16-J16</x:f>
        <x:v>14</x:v>
      </x:c>
      <x:c r="U16" s="13" t="n">
        <x:f>K16-I16</x:f>
        <x:v>14</x:v>
      </x:c>
      <x:c r="V16" s="14" t="n">
        <x:f>IF(AND(N16=1,M16="matched",Q16=0,P16=0),1,0)</x:f>
        <x:v>1</x:v>
      </x:c>
    </x:row>
    <x:row r="17" ht="23" customHeight="1">
      <x:c r="A17" s="1" t="str">
        <x:v>R6-01</x:v>
      </x:c>
      <x:c r="B17" s="1" t="str">
        <x:v>R6</x:v>
      </x:c>
      <x:c r="C17" s="1" t="str">
        <x:v>975</x:v>
      </x:c>
      <x:c r="D17" s="1" t="str">
        <x:v>976</x:v>
      </x:c>
      <x:c r="E17" s="1" t="n">
        <x:v>34</x:v>
      </x:c>
      <x:c r="F17" s="12" t="n">
        <x:v>1792184962</x:v>
      </x:c>
      <x:c r="G17" s="12" t="n">
        <x:v>1792184962</x:v>
      </x:c>
      <x:c r="H17" s="12" t="n">
        <x:v>1792185278</x:v>
      </x:c>
      <x:c r="I17" s="12" t="n">
        <x:v>1792185286</x:v>
      </x:c>
      <x:c r="J17" s="12" t="n">
        <x:v>1792185286</x:v>
      </x:c>
      <x:c r="K17" s="12" t="n">
        <x:v>1792185337</x:v>
      </x:c>
      <x:c r="L17" s="10" t="n">
        <x:v>0.4869947229999525</x:v>
      </x:c>
      <x:c r="M17" s="1" t="str">
        <x:v>matched</x:v>
      </x:c>
      <x:c r="N17" s="1" t="n">
        <x:v>1</x:v>
      </x:c>
      <x:c r="O17" s="1" t="n">
        <x:v>1</x:v>
      </x:c>
      <x:c r="P17" s="1" t="n">
        <x:v>0</x:v>
      </x:c>
      <x:c r="Q17" s="1" t="n">
        <x:v>0</x:v>
      </x:c>
      <x:c r="R17" s="13" t="n">
        <x:f>H17-G17</x:f>
        <x:v>316</x:v>
      </x:c>
      <x:c r="S17" s="13" t="n">
        <x:f>H17-F17</x:f>
        <x:v>316</x:v>
      </x:c>
      <x:c r="T17" s="13" t="n">
        <x:f>K17-J17</x:f>
        <x:v>51</x:v>
      </x:c>
      <x:c r="U17" s="13" t="n">
        <x:f>K17-I17</x:f>
        <x:v>51</x:v>
      </x:c>
      <x:c r="V17" s="14" t="n">
        <x:f>IF(AND(N17=1,M17="matched",Q17=0,P17=0),1,0)</x:f>
        <x:v>1</x:v>
      </x:c>
    </x:row>
    <x:row r="18" ht="23" customHeight="1">
      <x:c r="A18" s="1" t="str">
        <x:v>R6-02</x:v>
      </x:c>
      <x:c r="B18" s="1" t="str">
        <x:v>R6</x:v>
      </x:c>
      <x:c r="C18" s="1" t="str">
        <x:v>977</x:v>
      </x:c>
      <x:c r="D18" s="1" t="str">
        <x:v>978</x:v>
      </x:c>
      <x:c r="E18" s="1" t="n">
        <x:v>35</x:v>
      </x:c>
      <x:c r="F18" s="12" t="n">
        <x:v>1792185641</x:v>
      </x:c>
      <x:c r="G18" s="12" t="n">
        <x:v>1792185641</x:v>
      </x:c>
      <x:c r="H18" s="12" t="n">
        <x:v>1792185997</x:v>
      </x:c>
      <x:c r="I18" s="12" t="n">
        <x:v>1792186011</x:v>
      </x:c>
      <x:c r="J18" s="12" t="n">
        <x:v>1792186011</x:v>
      </x:c>
      <x:c r="K18" s="12" t="n">
        <x:v>1792186057</x:v>
      </x:c>
      <x:c r="L18" s="10" t="n">
        <x:v>0.5221729459990456</x:v>
      </x:c>
      <x:c r="M18" s="1" t="str">
        <x:v>matched</x:v>
      </x:c>
      <x:c r="N18" s="1" t="n">
        <x:v>1</x:v>
      </x:c>
      <x:c r="O18" s="1" t="n">
        <x:v>1</x:v>
      </x:c>
      <x:c r="P18" s="1" t="n">
        <x:v>0</x:v>
      </x:c>
      <x:c r="Q18" s="1" t="n">
        <x:v>0</x:v>
      </x:c>
      <x:c r="R18" s="13" t="n">
        <x:f>H18-G18</x:f>
        <x:v>356</x:v>
      </x:c>
      <x:c r="S18" s="13" t="n">
        <x:f>H18-F18</x:f>
        <x:v>356</x:v>
      </x:c>
      <x:c r="T18" s="13" t="n">
        <x:f>K18-J18</x:f>
        <x:v>46</x:v>
      </x:c>
      <x:c r="U18" s="13" t="n">
        <x:f>K18-I18</x:f>
        <x:v>46</x:v>
      </x:c>
      <x:c r="V18" s="14" t="n">
        <x:f>IF(AND(N18=1,M18="matched",Q18=0,P18=0),1,0)</x:f>
        <x:v>1</x:v>
      </x:c>
    </x:row>
    <x:row r="19" ht="23" customHeight="1">
      <x:c r="A19" s="1" t="str">
        <x:v>R6-03</x:v>
      </x:c>
      <x:c r="B19" s="1" t="str">
        <x:v>R6</x:v>
      </x:c>
      <x:c r="C19" s="1" t="str">
        <x:v>979</x:v>
      </x:c>
      <x:c r="D19" s="1" t="str">
        <x:v>980</x:v>
      </x:c>
      <x:c r="E19" s="1" t="n">
        <x:v>36</x:v>
      </x:c>
      <x:c r="F19" s="12" t="n">
        <x:v>1792186326</x:v>
      </x:c>
      <x:c r="G19" s="12" t="n">
        <x:v>1792186326</x:v>
      </x:c>
      <x:c r="H19" s="12" t="n">
        <x:v>1792186717</x:v>
      </x:c>
      <x:c r="I19" s="12" t="n">
        <x:v>1792186745</x:v>
      </x:c>
      <x:c r="J19" s="12" t="n">
        <x:v>1792186745</x:v>
      </x:c>
      <x:c r="K19" s="12" t="n">
        <x:v>1792186777</x:v>
      </x:c>
      <x:c r="L19" s="10" t="n">
        <x:v>0.5020442150016606</x:v>
      </x:c>
      <x:c r="M19" s="1" t="str">
        <x:v>matched</x:v>
      </x:c>
      <x:c r="N19" s="1" t="n">
        <x:v>1</x:v>
      </x:c>
      <x:c r="O19" s="1" t="n">
        <x:v>1</x:v>
      </x:c>
      <x:c r="P19" s="1" t="n">
        <x:v>0</x:v>
      </x:c>
      <x:c r="Q19" s="1" t="n">
        <x:v>0</x:v>
      </x:c>
      <x:c r="R19" s="13" t="n">
        <x:f>H19-G19</x:f>
        <x:v>391</x:v>
      </x:c>
      <x:c r="S19" s="13" t="n">
        <x:f>H19-F19</x:f>
        <x:v>391</x:v>
      </x:c>
      <x:c r="T19" s="13" t="n">
        <x:f>K19-J19</x:f>
        <x:v>32</x:v>
      </x:c>
      <x:c r="U19" s="13" t="n">
        <x:f>K19-I19</x:f>
        <x:v>32</x:v>
      </x:c>
      <x:c r="V19" s="14" t="n">
        <x:f>IF(AND(N19=1,M19="matched",Q19=0,P19=0),1,0)</x:f>
        <x:v>1</x:v>
      </x:c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</x:row>
    <x:row r="22" ht="23" customHeight="1">
      <x:c r="A22" s="1" t="str">
        <x:v>Nguồn: evidence/week4/official-runs/&lt;Run ID&gt;/{fault.log, rollback.log, run.json, incident.json, problem-after-recovery.json, recovery.json}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</x:row>
    <x:row r="24" ht="23" customHeight="1">
      <x:c r="A24" s="1" t="str">
        <x:v>Epoch UTC; 1 giây độ phân giải. 18 dòng đã kiểm tra, không thêm/xóa dòng trong bảng nghiệm thu. CSV chứa thêm đường dẫn ảnh và cận DT ±1 giây.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</x:row>
  </x:sheetData>
  <x:mergeCells>
    <x:mergeCell ref="A22:V22"/>
    <x:mergeCell ref="A24:V24"/>
  </x:mergeCells>
  <x:pageMargins left="0.7" right="0.7" top="0.75" bottom="0.75" header="0.3" footer="0.3"/>
</x:worksheet>
</file>